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Excel Invoice Project\"/>
    </mc:Choice>
  </mc:AlternateContent>
  <xr:revisionPtr revIDLastSave="0" documentId="13_ncr:1_{1407334A-68A5-43B3-9959-3D80A734E530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Invoice" sheetId="1" r:id="rId1"/>
    <sheet name="ProductMaster" sheetId="2" r:id="rId2"/>
    <sheet name="Database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4" i="1" l="1"/>
  <c r="A4" i="3"/>
  <c r="A3" i="3" l="1"/>
  <c r="A3" i="2" l="1"/>
  <c r="J20" i="1"/>
  <c r="AC12" i="1" l="1"/>
  <c r="AC11" i="1" l="1"/>
  <c r="J36" i="1"/>
  <c r="J32" i="1"/>
  <c r="J28" i="1"/>
  <c r="J24" i="1"/>
  <c r="J40" i="1" l="1"/>
  <c r="J43" i="1" s="1"/>
  <c r="J42" i="1" l="1"/>
  <c r="J41" i="1"/>
</calcChain>
</file>

<file path=xl/sharedStrings.xml><?xml version="1.0" encoding="utf-8"?>
<sst xmlns="http://schemas.openxmlformats.org/spreadsheetml/2006/main" count="69" uniqueCount="61">
  <si>
    <t>Tax Invoice</t>
  </si>
  <si>
    <t>Nexus Solutions</t>
  </si>
  <si>
    <t>Flat No. 103, Khadilkar Sankul,</t>
  </si>
  <si>
    <t>GSTIN/UIN : 27AATHM8974Q1ZP</t>
  </si>
  <si>
    <t>State Name : Maharashtra, Code : 27</t>
  </si>
  <si>
    <t xml:space="preserve">Invoice No. </t>
  </si>
  <si>
    <t>GST/23-24/</t>
  </si>
  <si>
    <t>Dated</t>
  </si>
  <si>
    <t>Delivery Note</t>
  </si>
  <si>
    <t>Mode/ Terms of Payment</t>
  </si>
  <si>
    <t>Referance No. &amp; Date</t>
  </si>
  <si>
    <t>Other Referances</t>
  </si>
  <si>
    <t>SR. No.</t>
  </si>
  <si>
    <t>description of Goods</t>
  </si>
  <si>
    <t>HSN/SAC</t>
  </si>
  <si>
    <t>Quantity</t>
  </si>
  <si>
    <t>Rate</t>
  </si>
  <si>
    <t>per</t>
  </si>
  <si>
    <t>Amount</t>
  </si>
  <si>
    <t>Delivery Note Date</t>
  </si>
  <si>
    <t>Destination</t>
  </si>
  <si>
    <t>Motor Vehicle No.</t>
  </si>
  <si>
    <t>Terms of Delivery</t>
  </si>
  <si>
    <t>Consignee (Ship to)</t>
  </si>
  <si>
    <t>Buyer (Bill to)</t>
  </si>
  <si>
    <t xml:space="preserve">Buyer's Order No. </t>
  </si>
  <si>
    <t xml:space="preserve">Dispatch Doc No. </t>
  </si>
  <si>
    <t>Dispatch through</t>
  </si>
  <si>
    <t>Bill of Lading/LR-RR No.</t>
  </si>
  <si>
    <t xml:space="preserve"> </t>
  </si>
  <si>
    <t>Amount Chargeble (in words)</t>
  </si>
  <si>
    <t>E. &amp; O.E.</t>
  </si>
  <si>
    <t>Declaration</t>
  </si>
  <si>
    <t>We declare that this invoice shows the actual</t>
  </si>
  <si>
    <t>price of the goods described and that all</t>
  </si>
  <si>
    <t>particulars are true and correct</t>
  </si>
  <si>
    <t>SUBJECT TO SANGLI JURISDICTION</t>
  </si>
  <si>
    <t>This is a Computer Generated Invoice</t>
  </si>
  <si>
    <t>for Nexus Solutions</t>
  </si>
  <si>
    <t>Authorised signatory</t>
  </si>
  <si>
    <t>Khadilkar Galli, Gaonbhag, Sangli</t>
  </si>
  <si>
    <t>Total</t>
  </si>
  <si>
    <t>CGST</t>
  </si>
  <si>
    <t>SGST</t>
  </si>
  <si>
    <t>IGST</t>
  </si>
  <si>
    <t>Product Master</t>
  </si>
  <si>
    <t>Sr. No.</t>
  </si>
  <si>
    <t>Product Name</t>
  </si>
  <si>
    <t>Price</t>
  </si>
  <si>
    <t>Qty Measure</t>
  </si>
  <si>
    <t>GSTIN/UIN :</t>
  </si>
  <si>
    <t>State Name :</t>
  </si>
  <si>
    <t>Date</t>
  </si>
  <si>
    <t>Buyer Name</t>
  </si>
  <si>
    <t>Total Bill Amount</t>
  </si>
  <si>
    <t>Database</t>
  </si>
  <si>
    <t/>
  </si>
  <si>
    <t>INV NO.</t>
  </si>
  <si>
    <t>Inv_Series</t>
  </si>
  <si>
    <t>Buyer GST No.</t>
  </si>
  <si>
    <t>GST-23-24-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</si>
</sst>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009]d/m/yy;@"/>
    <numFmt numFmtId="165" formatCode="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/>
    <xf numFmtId="0" fontId="3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4" xfId="0" applyFont="1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1" xfId="0" applyFont="1" applyBorder="1" applyAlignment="1">
      <alignment horizontal="right"/>
    </xf>
    <xf numFmtId="0" fontId="3" fillId="0" borderId="1" xfId="0" applyFont="1" applyBorder="1" applyAlignment="1"/>
    <xf numFmtId="0" fontId="3" fillId="0" borderId="2" xfId="0" applyFont="1" applyBorder="1"/>
    <xf numFmtId="0" fontId="3" fillId="0" borderId="3" xfId="0" applyFont="1" applyBorder="1"/>
    <xf numFmtId="0" fontId="3" fillId="0" borderId="3" xfId="0" applyFont="1" applyBorder="1" applyAlignment="1">
      <alignment horizontal="center" vertical="center"/>
    </xf>
    <xf numFmtId="0" fontId="3" fillId="0" borderId="5" xfId="0" applyFont="1" applyBorder="1"/>
    <xf numFmtId="0" fontId="3" fillId="0" borderId="7" xfId="0" applyFont="1" applyBorder="1"/>
    <xf numFmtId="0" fontId="3" fillId="0" borderId="8" xfId="0" applyFont="1" applyBorder="1"/>
    <xf numFmtId="0" fontId="0" fillId="2" borderId="0" xfId="0" applyFill="1"/>
    <xf numFmtId="0" fontId="0" fillId="0" borderId="9" xfId="0" applyBorder="1"/>
    <xf numFmtId="0" fontId="0" fillId="0" borderId="15" xfId="0" applyBorder="1"/>
    <xf numFmtId="0" fontId="0" fillId="0" borderId="7" xfId="0" applyBorder="1"/>
    <xf numFmtId="0" fontId="0" fillId="0" borderId="13" xfId="0" applyBorder="1"/>
    <xf numFmtId="0" fontId="0" fillId="0" borderId="2" xfId="0" applyBorder="1"/>
    <xf numFmtId="2" fontId="3" fillId="0" borderId="12" xfId="0" applyNumberFormat="1" applyFont="1" applyBorder="1" applyAlignment="1">
      <alignment horizontal="right" vertical="top"/>
    </xf>
    <xf numFmtId="2" fontId="3" fillId="0" borderId="12" xfId="0" applyNumberFormat="1" applyFont="1" applyBorder="1" applyAlignment="1">
      <alignment horizontal="right"/>
    </xf>
    <xf numFmtId="0" fontId="1" fillId="0" borderId="0" xfId="0" applyFont="1"/>
    <xf numFmtId="2" fontId="3" fillId="0" borderId="4" xfId="0" applyNumberFormat="1" applyFont="1" applyBorder="1" applyAlignment="1">
      <alignment horizontal="right" vertical="top"/>
    </xf>
    <xf numFmtId="0" fontId="0" fillId="0" borderId="0" xfId="0" applyAlignment="1">
      <alignment horizontal="center"/>
    </xf>
    <xf numFmtId="165" fontId="0" fillId="0" borderId="4" xfId="0" applyNumberFormat="1" applyBorder="1"/>
    <xf numFmtId="165" fontId="0" fillId="0" borderId="1" xfId="0" applyNumberFormat="1" applyFont="1" applyBorder="1"/>
    <xf numFmtId="0" fontId="0" fillId="0" borderId="1" xfId="0" applyBorder="1"/>
    <xf numFmtId="165" fontId="0" fillId="0" borderId="13" xfId="0" applyNumberFormat="1" applyFont="1" applyBorder="1"/>
    <xf numFmtId="0" fontId="4" fillId="0" borderId="5" xfId="0" applyFont="1" applyBorder="1" applyAlignment="1">
      <alignment horizontal="center" vertical="center"/>
    </xf>
    <xf numFmtId="165" fontId="3" fillId="0" borderId="13" xfId="0" applyNumberFormat="1" applyFont="1" applyBorder="1" applyAlignment="1">
      <alignment horizontal="left" vertical="center"/>
    </xf>
    <xf numFmtId="164" fontId="3" fillId="0" borderId="13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center"/>
    </xf>
    <xf numFmtId="2" fontId="3" fillId="0" borderId="13" xfId="0" applyNumberFormat="1" applyFont="1" applyBorder="1" applyAlignment="1">
      <alignment horizontal="right"/>
    </xf>
    <xf numFmtId="2" fontId="0" fillId="0" borderId="13" xfId="0" applyNumberFormat="1" applyFont="1" applyBorder="1" applyAlignment="1"/>
    <xf numFmtId="2" fontId="0" fillId="0" borderId="13" xfId="0" applyNumberFormat="1" applyFont="1" applyBorder="1" applyAlignment="1">
      <alignment horizontal="right"/>
    </xf>
    <xf numFmtId="2" fontId="3" fillId="0" borderId="12" xfId="0" applyNumberFormat="1" applyFont="1" applyBorder="1" applyAlignment="1">
      <alignment horizontal="right" vertical="center"/>
    </xf>
    <xf numFmtId="0" fontId="0" fillId="0" borderId="0" xfId="0" applyAlignment="1"/>
    <xf numFmtId="0" fontId="4" fillId="0" borderId="7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8" xfId="0" applyFont="1" applyBorder="1" applyAlignment="1">
      <alignment horizontal="center"/>
    </xf>
    <xf numFmtId="0" fontId="4" fillId="0" borderId="7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9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2" fontId="3" fillId="0" borderId="14" xfId="0" applyNumberFormat="1" applyFont="1" applyBorder="1" applyAlignment="1">
      <alignment horizontal="right" vertical="top"/>
    </xf>
    <xf numFmtId="2" fontId="3" fillId="0" borderId="6" xfId="0" applyNumberFormat="1" applyFont="1" applyBorder="1" applyAlignment="1">
      <alignment horizontal="right" vertical="top"/>
    </xf>
    <xf numFmtId="2" fontId="3" fillId="0" borderId="9" xfId="0" applyNumberFormat="1" applyFont="1" applyBorder="1" applyAlignment="1">
      <alignment horizontal="right" vertical="top"/>
    </xf>
    <xf numFmtId="0" fontId="3" fillId="0" borderId="10" xfId="0" applyFont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3" fillId="0" borderId="5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  <xf numFmtId="0" fontId="4" fillId="0" borderId="3" xfId="0" applyFont="1" applyBorder="1" applyAlignment="1">
      <alignment horizontal="left"/>
    </xf>
    <xf numFmtId="0" fontId="3" fillId="0" borderId="13" xfId="0" applyFont="1" applyBorder="1" applyAlignment="1">
      <alignment horizontal="center" vertical="top"/>
    </xf>
    <xf numFmtId="0" fontId="3" fillId="0" borderId="14" xfId="0" applyFont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2" xfId="0" applyFont="1" applyBorder="1" applyAlignment="1">
      <alignment horizontal="left" vertical="top"/>
    </xf>
    <xf numFmtId="0" fontId="3" fillId="0" borderId="3" xfId="0" applyFont="1" applyBorder="1" applyAlignment="1">
      <alignment horizontal="left" vertical="top"/>
    </xf>
    <xf numFmtId="0" fontId="3" fillId="0" borderId="4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3" fillId="0" borderId="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4" fillId="0" borderId="5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0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3" fillId="0" borderId="15" xfId="0" applyFont="1" applyBorder="1" applyAlignment="1">
      <alignment horizontal="center" vertical="top"/>
    </xf>
    <xf numFmtId="165" fontId="4" fillId="0" borderId="8" xfId="0" applyNumberFormat="1" applyFont="1" applyBorder="1" applyAlignment="1">
      <alignment horizontal="left" vertical="center"/>
    </xf>
    <xf numFmtId="165" fontId="4" fillId="0" borderId="9" xfId="0" applyNumberFormat="1" applyFont="1" applyBorder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left" vertical="top"/>
    </xf>
    <xf numFmtId="0" fontId="3" fillId="0" borderId="3" xfId="0" applyFont="1" applyFill="1" applyBorder="1" applyAlignment="1">
      <alignment horizontal="left" vertical="top"/>
    </xf>
    <xf numFmtId="0" fontId="3" fillId="0" borderId="4" xfId="0" applyFont="1" applyFill="1" applyBorder="1" applyAlignment="1">
      <alignment horizontal="left" vertical="top"/>
    </xf>
    <xf numFmtId="0" fontId="1" fillId="0" borderId="5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164" fontId="4" fillId="0" borderId="7" xfId="0" applyNumberFormat="1" applyFont="1" applyBorder="1" applyAlignment="1">
      <alignment horizontal="left"/>
    </xf>
    <xf numFmtId="164" fontId="4" fillId="0" borderId="8" xfId="0" applyNumberFormat="1" applyFont="1" applyBorder="1" applyAlignment="1">
      <alignment horizontal="left"/>
    </xf>
    <xf numFmtId="164" fontId="4" fillId="0" borderId="9" xfId="0" applyNumberFormat="1" applyFont="1" applyBorder="1" applyAlignment="1">
      <alignment horizontal="left"/>
    </xf>
    <xf numFmtId="2" fontId="3" fillId="0" borderId="15" xfId="0" applyNumberFormat="1" applyFont="1" applyBorder="1" applyAlignment="1">
      <alignment horizontal="right" vertical="top"/>
    </xf>
    <xf numFmtId="2" fontId="3" fillId="0" borderId="0" xfId="0" applyNumberFormat="1" applyFont="1" applyBorder="1" applyAlignment="1">
      <alignment horizontal="right" vertical="top"/>
    </xf>
    <xf numFmtId="2" fontId="3" fillId="0" borderId="13" xfId="0" applyNumberFormat="1" applyFont="1" applyBorder="1" applyAlignment="1">
      <alignment horizontal="right" vertical="top"/>
    </xf>
    <xf numFmtId="0" fontId="6" fillId="2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19">
    <dxf>
      <font>
        <b val="0"/>
      </font>
      <numFmt numFmtId="2" formatCode="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[$-14009]d/m/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[$-14009]d/m/yy;@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[$-14009]d/m/yy;@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</font>
      <numFmt numFmtId="165" formatCode="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00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228600</xdr:colOff>
      <xdr:row>9</xdr:row>
      <xdr:rowOff>185738</xdr:rowOff>
    </xdr:from>
    <xdr:to>
      <xdr:col>14</xdr:col>
      <xdr:colOff>200025</xdr:colOff>
      <xdr:row>12</xdr:row>
      <xdr:rowOff>119063</xdr:rowOff>
    </xdr:to>
    <xdr:sp macro="[0]!Sav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91D44AB-CB9A-44F5-9390-B738AB678D4E}"/>
            </a:ext>
          </a:extLst>
        </xdr:cNvPr>
        <xdr:cNvSpPr/>
      </xdr:nvSpPr>
      <xdr:spPr>
        <a:xfrm>
          <a:off x="6638925" y="1900238"/>
          <a:ext cx="1800225" cy="504825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0">
              <a:ln w="22225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bg1"/>
              </a:solidFill>
              <a:effectLst/>
            </a:rPr>
            <a:t>SAVE</a:t>
          </a:r>
          <a:r>
            <a:rPr lang="en-US" sz="2000" b="1" cap="none" spc="0" baseline="0">
              <a:ln w="22225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bg1"/>
              </a:solidFill>
              <a:effectLst/>
            </a:rPr>
            <a:t> INVOICE</a:t>
          </a:r>
          <a:endParaRPr lang="en-US" sz="2000" b="1" cap="none" spc="0">
            <a:ln w="22225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11</xdr:col>
      <xdr:colOff>257175</xdr:colOff>
      <xdr:row>13</xdr:row>
      <xdr:rowOff>152400</xdr:rowOff>
    </xdr:from>
    <xdr:to>
      <xdr:col>14</xdr:col>
      <xdr:colOff>171450</xdr:colOff>
      <xdr:row>16</xdr:row>
      <xdr:rowOff>123825</xdr:rowOff>
    </xdr:to>
    <xdr:sp macro="[0]!downloadpdfne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3F3E820-7139-4A01-91FE-0EF452BBFDF6}"/>
            </a:ext>
          </a:extLst>
        </xdr:cNvPr>
        <xdr:cNvSpPr/>
      </xdr:nvSpPr>
      <xdr:spPr>
        <a:xfrm>
          <a:off x="6667500" y="2628900"/>
          <a:ext cx="1743075" cy="542925"/>
        </a:xfrm>
        <a:prstGeom prst="roundRect">
          <a:avLst/>
        </a:prstGeom>
        <a:solidFill>
          <a:srgbClr val="00B0F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 cap="none" spc="0">
              <a:ln w="22225">
                <a:solidFill>
                  <a:srgbClr val="FFC000"/>
                </a:solidFill>
                <a:prstDash val="solid"/>
              </a:ln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DOWNLOAD</a:t>
          </a:r>
        </a:p>
      </xdr:txBody>
    </xdr:sp>
    <xdr:clientData/>
  </xdr:twoCellAnchor>
  <xdr:twoCellAnchor>
    <xdr:from>
      <xdr:col>11</xdr:col>
      <xdr:colOff>257175</xdr:colOff>
      <xdr:row>5</xdr:row>
      <xdr:rowOff>180975</xdr:rowOff>
    </xdr:from>
    <xdr:to>
      <xdr:col>14</xdr:col>
      <xdr:colOff>171450</xdr:colOff>
      <xdr:row>8</xdr:row>
      <xdr:rowOff>152400</xdr:rowOff>
    </xdr:to>
    <xdr:sp macro="[0]!ClearRecord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977ABE6-DC1F-4683-B0BC-55FA1A08AA45}"/>
            </a:ext>
          </a:extLst>
        </xdr:cNvPr>
        <xdr:cNvSpPr/>
      </xdr:nvSpPr>
      <xdr:spPr>
        <a:xfrm>
          <a:off x="6667500" y="1133475"/>
          <a:ext cx="1743075" cy="5429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cap="none" spc="0">
              <a:ln w="22225">
                <a:solidFill>
                  <a:srgbClr val="FFFF00"/>
                </a:solidFill>
                <a:prstDash val="solid"/>
              </a:ln>
              <a:solidFill>
                <a:schemeClr val="bg1"/>
              </a:solidFill>
              <a:effectLst/>
            </a:rPr>
            <a:t>CLEAR </a:t>
          </a:r>
        </a:p>
      </xdr:txBody>
    </xdr:sp>
    <xdr:clientData/>
  </xdr:twoCellAnchor>
  <xdr:twoCellAnchor>
    <xdr:from>
      <xdr:col>15</xdr:col>
      <xdr:colOff>9524</xdr:colOff>
      <xdr:row>9</xdr:row>
      <xdr:rowOff>138113</xdr:rowOff>
    </xdr:from>
    <xdr:to>
      <xdr:col>17</xdr:col>
      <xdr:colOff>380999</xdr:colOff>
      <xdr:row>12</xdr:row>
      <xdr:rowOff>71438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6990B6C-8201-4D7D-BB6B-34B1DCF4F870}"/>
            </a:ext>
          </a:extLst>
        </xdr:cNvPr>
        <xdr:cNvSpPr/>
      </xdr:nvSpPr>
      <xdr:spPr>
        <a:xfrm>
          <a:off x="8858249" y="1852613"/>
          <a:ext cx="1590675" cy="504825"/>
        </a:xfrm>
        <a:prstGeom prst="lef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into the Database</a:t>
          </a:r>
        </a:p>
      </xdr:txBody>
    </xdr:sp>
    <xdr:clientData/>
  </xdr:twoCellAnchor>
  <xdr:twoCellAnchor>
    <xdr:from>
      <xdr:col>15</xdr:col>
      <xdr:colOff>9525</xdr:colOff>
      <xdr:row>13</xdr:row>
      <xdr:rowOff>152400</xdr:rowOff>
    </xdr:from>
    <xdr:to>
      <xdr:col>17</xdr:col>
      <xdr:colOff>400051</xdr:colOff>
      <xdr:row>16</xdr:row>
      <xdr:rowOff>85725</xdr:rowOff>
    </xdr:to>
    <xdr:sp macro="" textlink="">
      <xdr:nvSpPr>
        <xdr:cNvPr id="8" name="Arrow: Left 7">
          <a:extLst>
            <a:ext uri="{FF2B5EF4-FFF2-40B4-BE49-F238E27FC236}">
              <a16:creationId xmlns:a16="http://schemas.microsoft.com/office/drawing/2014/main" id="{9005506D-0C72-4217-9895-42A0BF04C169}"/>
            </a:ext>
          </a:extLst>
        </xdr:cNvPr>
        <xdr:cNvSpPr/>
      </xdr:nvSpPr>
      <xdr:spPr>
        <a:xfrm>
          <a:off x="8858250" y="2628900"/>
          <a:ext cx="1609726" cy="504825"/>
        </a:xfrm>
        <a:prstGeom prst="lef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Download PDF copy</a:t>
          </a:r>
        </a:p>
      </xdr:txBody>
    </xdr:sp>
    <xdr:clientData/>
  </xdr:twoCellAnchor>
  <xdr:twoCellAnchor>
    <xdr:from>
      <xdr:col>15</xdr:col>
      <xdr:colOff>9525</xdr:colOff>
      <xdr:row>5</xdr:row>
      <xdr:rowOff>133350</xdr:rowOff>
    </xdr:from>
    <xdr:to>
      <xdr:col>17</xdr:col>
      <xdr:colOff>371475</xdr:colOff>
      <xdr:row>8</xdr:row>
      <xdr:rowOff>66675</xdr:rowOff>
    </xdr:to>
    <xdr:sp macro="" textlink="">
      <xdr:nvSpPr>
        <xdr:cNvPr id="9" name="Arrow: Left 8">
          <a:extLst>
            <a:ext uri="{FF2B5EF4-FFF2-40B4-BE49-F238E27FC236}">
              <a16:creationId xmlns:a16="http://schemas.microsoft.com/office/drawing/2014/main" id="{960147A1-640F-4B39-BA12-0EA50978FE9D}"/>
            </a:ext>
          </a:extLst>
        </xdr:cNvPr>
        <xdr:cNvSpPr/>
      </xdr:nvSpPr>
      <xdr:spPr>
        <a:xfrm>
          <a:off x="8858250" y="1085850"/>
          <a:ext cx="1581150" cy="504825"/>
        </a:xfrm>
        <a:prstGeom prst="lef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CLEARS</a:t>
          </a:r>
          <a:r>
            <a:rPr lang="en-US" sz="1100" baseline="0"/>
            <a:t> THE FORM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CB5919-8BD7-4D87-8A7D-5ABBE23F12D8}" name="ProcustMaster" displayName="ProcustMaster" ref="A2:D3" totalsRowShown="0" headerRowDxfId="18" headerRowBorderDxfId="17" tableBorderDxfId="16" totalsRowBorderDxfId="15">
  <autoFilter ref="A2:D3" xr:uid="{D0B784A6-6281-4059-9EF5-B7B80D72A49F}"/>
  <tableColumns count="4">
    <tableColumn id="1" xr3:uid="{B3F2D6CD-3F56-4B18-8EA6-914D76C26857}" name="Sr. No." dataDxfId="14">
      <calculatedColumnFormula>ROWS($A$3:ProcustMaster[[#This Row],[Sr. No.]])</calculatedColumnFormula>
    </tableColumn>
    <tableColumn id="2" xr3:uid="{6828D0FF-65D3-415F-A37B-2F1058A3D7C7}" name="Product Name" dataDxfId="13"/>
    <tableColumn id="3" xr3:uid="{73847225-1B1A-4C09-AC71-99D536AEC457}" name="Price" dataDxfId="12"/>
    <tableColumn id="4" xr3:uid="{E950DF40-B9F6-4B38-9BC5-69E736DF6213}" name="Qty Measure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DE920C-B036-4097-96DC-EFD12D7915EC}" name="Table2" displayName="Table2" ref="A2:J4" totalsRowShown="0" dataDxfId="10">
  <autoFilter ref="A2:J4" xr:uid="{AC66B27E-DD6F-4B49-B25A-F1DB14288C20}"/>
  <tableColumns count="10">
    <tableColumn id="1" xr3:uid="{6503A1D8-4330-4E6E-BE06-326DF5B6E33D}" name="Sr. No." dataDxfId="9">
      <calculatedColumnFormula>ROWS($A$3:Table2[[#This Row],[Sr. No.]])</calculatedColumnFormula>
    </tableColumn>
    <tableColumn id="2" xr3:uid="{00D2436A-1D85-4F42-BFE2-CFD38E6BF9C1}" name="Inv_Series" dataDxfId="8"/>
    <tableColumn id="3" xr3:uid="{F5D83385-3B4E-478A-9231-5C47B118F734}" name="INV NO." dataDxfId="7"/>
    <tableColumn id="4" xr3:uid="{85A6AFFA-3B1B-40FF-9FC1-4240D94B7BB1}" name="Date" dataDxfId="6"/>
    <tableColumn id="5" xr3:uid="{E18FF1CF-4725-4F4C-AA28-E640869C655E}" name="Buyer Name" dataDxfId="5"/>
    <tableColumn id="10" xr3:uid="{74A3CFC4-B018-4E4F-99D8-BE1E15FD4B9F}" name="Buyer GST No." dataDxfId="4"/>
    <tableColumn id="6" xr3:uid="{126C2896-2951-49C3-BC01-ADDC802319F0}" name="Total Bill Amount" dataDxfId="3"/>
    <tableColumn id="7" xr3:uid="{B6A4BEDA-A3CE-47D0-B739-0805964F228D}" name="IGST" dataDxfId="2"/>
    <tableColumn id="8" xr3:uid="{D232DCD6-4C71-4F57-8FAC-EE757213B4F0}" name="CGST" dataDxfId="1"/>
    <tableColumn id="9" xr3:uid="{4CB07BBF-8530-4E25-B300-5B98E996D4DA}" name="SG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96"/>
  <sheetViews>
    <sheetView tabSelected="1" workbookViewId="0">
      <selection activeCell="J44" sqref="J44"/>
    </sheetView>
  </sheetViews>
  <sheetFormatPr defaultRowHeight="15" x14ac:dyDescent="0.25"/>
  <cols>
    <col min="1" max="1" width="3.5703125" customWidth="1"/>
    <col min="4" max="4" width="18.85546875" customWidth="1"/>
    <col min="5" max="5" width="9.7109375" style="4" customWidth="1"/>
    <col min="6" max="6" width="8.5703125" customWidth="1"/>
    <col min="7" max="7" width="4.140625" customWidth="1"/>
    <col min="8" max="8" width="9.140625" customWidth="1"/>
    <col min="9" max="9" width="5.140625" customWidth="1"/>
    <col min="10" max="10" width="9.140625" customWidth="1"/>
    <col min="18" max="18" width="7.5703125" customWidth="1"/>
    <col min="19" max="19" width="8.5703125" customWidth="1"/>
    <col min="20" max="21" width="9.140625" customWidth="1"/>
    <col min="22" max="22" width="12" customWidth="1"/>
    <col min="23" max="23" width="14.140625" customWidth="1"/>
    <col min="24" max="24" width="15.85546875" customWidth="1"/>
    <col min="25" max="25" width="10.5703125" customWidth="1"/>
    <col min="26" max="26" width="7.85546875" customWidth="1"/>
    <col min="27" max="27" width="9.140625" customWidth="1"/>
    <col min="28" max="28" width="10.28515625" customWidth="1"/>
    <col min="29" max="29" width="12.7109375" bestFit="1" customWidth="1"/>
  </cols>
  <sheetData>
    <row r="1" spans="1:29" x14ac:dyDescent="0.25">
      <c r="A1" s="54" t="s">
        <v>0</v>
      </c>
      <c r="B1" s="54"/>
      <c r="C1" s="54"/>
      <c r="D1" s="54"/>
      <c r="E1" s="54"/>
      <c r="F1" s="54"/>
      <c r="G1" s="54"/>
      <c r="H1" s="54"/>
      <c r="I1" s="54"/>
      <c r="J1" s="54"/>
    </row>
    <row r="2" spans="1:29" x14ac:dyDescent="0.25">
      <c r="A2" s="58" t="s">
        <v>1</v>
      </c>
      <c r="B2" s="59"/>
      <c r="C2" s="59"/>
      <c r="D2" s="60"/>
      <c r="E2" s="87" t="s">
        <v>5</v>
      </c>
      <c r="F2" s="88"/>
      <c r="G2" s="89"/>
      <c r="H2" s="67" t="s">
        <v>7</v>
      </c>
      <c r="I2" s="68"/>
      <c r="J2" s="69"/>
    </row>
    <row r="3" spans="1:29" x14ac:dyDescent="0.25">
      <c r="A3" s="61" t="s">
        <v>2</v>
      </c>
      <c r="B3" s="62"/>
      <c r="C3" s="62"/>
      <c r="D3" s="63"/>
      <c r="E3" s="50" t="s">
        <v>60</v>
      </c>
      <c r="F3" s="112"/>
      <c r="G3" s="113"/>
      <c r="H3" s="126"/>
      <c r="I3" s="127"/>
      <c r="J3" s="128"/>
    </row>
    <row r="4" spans="1:29" x14ac:dyDescent="0.25">
      <c r="A4" s="61" t="s">
        <v>40</v>
      </c>
      <c r="B4" s="62"/>
      <c r="C4" s="62"/>
      <c r="D4" s="63"/>
      <c r="E4" s="87" t="s">
        <v>8</v>
      </c>
      <c r="F4" s="88"/>
      <c r="G4" s="89"/>
      <c r="H4" s="67" t="s">
        <v>9</v>
      </c>
      <c r="I4" s="68"/>
      <c r="J4" s="69"/>
    </row>
    <row r="5" spans="1:29" x14ac:dyDescent="0.25">
      <c r="A5" s="64" t="s">
        <v>3</v>
      </c>
      <c r="B5" s="65"/>
      <c r="C5" s="65"/>
      <c r="D5" s="66"/>
      <c r="E5" s="114"/>
      <c r="F5" s="115"/>
      <c r="G5" s="116"/>
      <c r="H5" s="70"/>
      <c r="I5" s="71"/>
      <c r="J5" s="72"/>
    </row>
    <row r="6" spans="1:29" x14ac:dyDescent="0.25">
      <c r="A6" s="70" t="s">
        <v>4</v>
      </c>
      <c r="B6" s="71"/>
      <c r="C6" s="71"/>
      <c r="D6" s="72"/>
      <c r="E6" s="87" t="s">
        <v>10</v>
      </c>
      <c r="F6" s="88"/>
      <c r="G6" s="89"/>
      <c r="H6" s="67" t="s">
        <v>11</v>
      </c>
      <c r="I6" s="68"/>
      <c r="J6" s="69"/>
    </row>
    <row r="7" spans="1:29" x14ac:dyDescent="0.25">
      <c r="A7" s="67" t="s">
        <v>23</v>
      </c>
      <c r="B7" s="68"/>
      <c r="C7" s="68"/>
      <c r="D7" s="69"/>
      <c r="E7" s="90"/>
      <c r="F7" s="91"/>
      <c r="G7" s="92"/>
      <c r="H7" s="70"/>
      <c r="I7" s="71"/>
      <c r="J7" s="72"/>
    </row>
    <row r="8" spans="1:29" x14ac:dyDescent="0.25">
      <c r="A8" s="120"/>
      <c r="B8" s="121"/>
      <c r="C8" s="121"/>
      <c r="D8" s="122"/>
      <c r="E8" s="117" t="s">
        <v>25</v>
      </c>
      <c r="F8" s="118"/>
      <c r="G8" s="119"/>
      <c r="H8" s="67" t="s">
        <v>7</v>
      </c>
      <c r="I8" s="68"/>
      <c r="J8" s="69"/>
    </row>
    <row r="9" spans="1:29" x14ac:dyDescent="0.25">
      <c r="A9" s="97"/>
      <c r="B9" s="98"/>
      <c r="C9" s="98"/>
      <c r="D9" s="99"/>
      <c r="E9" s="82"/>
      <c r="F9" s="86"/>
      <c r="G9" s="53"/>
      <c r="H9" s="70"/>
      <c r="I9" s="71"/>
      <c r="J9" s="72"/>
    </row>
    <row r="10" spans="1:29" x14ac:dyDescent="0.25">
      <c r="A10" s="61"/>
      <c r="B10" s="62"/>
      <c r="C10" s="62"/>
      <c r="D10" s="63"/>
      <c r="E10" s="87" t="s">
        <v>26</v>
      </c>
      <c r="F10" s="88"/>
      <c r="G10" s="89"/>
      <c r="H10" s="67" t="s">
        <v>19</v>
      </c>
      <c r="I10" s="68"/>
      <c r="J10" s="69"/>
    </row>
    <row r="11" spans="1:29" x14ac:dyDescent="0.25">
      <c r="A11" s="61" t="s">
        <v>50</v>
      </c>
      <c r="B11" s="62"/>
      <c r="C11" s="95"/>
      <c r="D11" s="96"/>
      <c r="E11" s="82"/>
      <c r="F11" s="86"/>
      <c r="G11" s="53"/>
      <c r="H11" s="70"/>
      <c r="I11" s="71"/>
      <c r="J11" s="72"/>
      <c r="P11" s="49"/>
      <c r="Q11" s="49"/>
      <c r="R11" s="49"/>
      <c r="S11" s="49"/>
      <c r="AC11" s="26" t="str">
        <f>IF(C12="Maharashtra","Maharashtra","")</f>
        <v/>
      </c>
    </row>
    <row r="12" spans="1:29" x14ac:dyDescent="0.25">
      <c r="A12" s="55" t="s">
        <v>51</v>
      </c>
      <c r="B12" s="56"/>
      <c r="C12" s="93"/>
      <c r="D12" s="94"/>
      <c r="E12" s="87" t="s">
        <v>27</v>
      </c>
      <c r="F12" s="88"/>
      <c r="G12" s="89"/>
      <c r="H12" s="67" t="s">
        <v>20</v>
      </c>
      <c r="I12" s="68"/>
      <c r="J12" s="69"/>
      <c r="P12" s="49"/>
      <c r="Q12" s="49"/>
      <c r="R12" s="49"/>
      <c r="S12" s="49"/>
      <c r="AC12">
        <f>IF(C12="Maharashtra",0,1)</f>
        <v>1</v>
      </c>
    </row>
    <row r="13" spans="1:29" x14ac:dyDescent="0.25">
      <c r="A13" s="67" t="s">
        <v>24</v>
      </c>
      <c r="B13" s="68"/>
      <c r="C13" s="68"/>
      <c r="D13" s="69"/>
      <c r="E13" s="90"/>
      <c r="F13" s="91"/>
      <c r="G13" s="92"/>
      <c r="H13" s="55"/>
      <c r="I13" s="56"/>
      <c r="J13" s="57"/>
    </row>
    <row r="14" spans="1:29" x14ac:dyDescent="0.25">
      <c r="A14" s="120"/>
      <c r="B14" s="121"/>
      <c r="C14" s="121"/>
      <c r="D14" s="122"/>
      <c r="E14" s="87" t="s">
        <v>28</v>
      </c>
      <c r="F14" s="88"/>
      <c r="G14" s="89"/>
      <c r="H14" s="67" t="s">
        <v>21</v>
      </c>
      <c r="I14" s="68"/>
      <c r="J14" s="69"/>
    </row>
    <row r="15" spans="1:29" x14ac:dyDescent="0.25">
      <c r="A15" s="97"/>
      <c r="B15" s="98"/>
      <c r="C15" s="98"/>
      <c r="D15" s="99"/>
      <c r="E15" s="90"/>
      <c r="F15" s="91"/>
      <c r="G15" s="92"/>
      <c r="H15" s="55"/>
      <c r="I15" s="56"/>
      <c r="J15" s="57"/>
    </row>
    <row r="16" spans="1:29" x14ac:dyDescent="0.25">
      <c r="A16" s="97"/>
      <c r="B16" s="98"/>
      <c r="C16" s="98"/>
      <c r="D16" s="99"/>
      <c r="E16" s="68" t="s">
        <v>22</v>
      </c>
      <c r="F16" s="68"/>
      <c r="G16" s="68"/>
      <c r="H16" s="68"/>
      <c r="I16" s="68"/>
      <c r="J16" s="69"/>
    </row>
    <row r="17" spans="1:10" x14ac:dyDescent="0.25">
      <c r="A17" s="61" t="s">
        <v>50</v>
      </c>
      <c r="B17" s="62"/>
      <c r="C17" s="95"/>
      <c r="D17" s="96"/>
      <c r="E17" s="62"/>
      <c r="F17" s="62"/>
      <c r="G17" s="62"/>
      <c r="H17" s="62"/>
      <c r="I17" s="62"/>
      <c r="J17" s="63"/>
    </row>
    <row r="18" spans="1:10" x14ac:dyDescent="0.25">
      <c r="A18" s="55" t="s">
        <v>51</v>
      </c>
      <c r="B18" s="56"/>
      <c r="C18" s="56"/>
      <c r="D18" s="57"/>
      <c r="E18" s="71"/>
      <c r="F18" s="71"/>
      <c r="G18" s="71"/>
      <c r="H18" s="71"/>
      <c r="I18" s="71"/>
      <c r="J18" s="72"/>
    </row>
    <row r="19" spans="1:10" ht="25.5" x14ac:dyDescent="0.25">
      <c r="A19" s="51" t="s">
        <v>12</v>
      </c>
      <c r="B19" s="73" t="s">
        <v>13</v>
      </c>
      <c r="C19" s="73"/>
      <c r="D19" s="73"/>
      <c r="E19" s="14" t="s">
        <v>14</v>
      </c>
      <c r="F19" s="14" t="s">
        <v>15</v>
      </c>
      <c r="G19" s="14"/>
      <c r="H19" s="14" t="s">
        <v>16</v>
      </c>
      <c r="I19" s="14" t="s">
        <v>17</v>
      </c>
      <c r="J19" s="14" t="s">
        <v>18</v>
      </c>
    </row>
    <row r="20" spans="1:10" x14ac:dyDescent="0.25">
      <c r="A20" s="84"/>
      <c r="B20" s="83"/>
      <c r="C20" s="83"/>
      <c r="D20" s="83"/>
      <c r="E20" s="84"/>
      <c r="F20" s="130"/>
      <c r="G20" s="84"/>
      <c r="H20" s="131"/>
      <c r="I20" s="84"/>
      <c r="J20" s="76" t="str">
        <f>IF(F20*H20=0,"",F20*H20)</f>
        <v/>
      </c>
    </row>
    <row r="21" spans="1:10" ht="11.25" customHeight="1" x14ac:dyDescent="0.25">
      <c r="A21" s="85"/>
      <c r="B21" s="62"/>
      <c r="C21" s="62"/>
      <c r="D21" s="62"/>
      <c r="E21" s="85"/>
      <c r="F21" s="130"/>
      <c r="G21" s="85"/>
      <c r="H21" s="76"/>
      <c r="I21" s="85"/>
      <c r="J21" s="76"/>
    </row>
    <row r="22" spans="1:10" ht="11.25" customHeight="1" x14ac:dyDescent="0.25">
      <c r="A22" s="85"/>
      <c r="B22" s="62"/>
      <c r="C22" s="62"/>
      <c r="D22" s="62"/>
      <c r="E22" s="85"/>
      <c r="F22" s="130"/>
      <c r="G22" s="85"/>
      <c r="H22" s="76"/>
      <c r="I22" s="85"/>
      <c r="J22" s="76"/>
    </row>
    <row r="23" spans="1:10" ht="11.25" customHeight="1" x14ac:dyDescent="0.25">
      <c r="A23" s="85"/>
      <c r="B23" s="62"/>
      <c r="C23" s="62"/>
      <c r="D23" s="62"/>
      <c r="E23" s="85"/>
      <c r="F23" s="130"/>
      <c r="G23" s="85"/>
      <c r="H23" s="76"/>
      <c r="I23" s="85"/>
      <c r="J23" s="76"/>
    </row>
    <row r="24" spans="1:10" x14ac:dyDescent="0.25">
      <c r="A24" s="85"/>
      <c r="B24" s="62"/>
      <c r="C24" s="62"/>
      <c r="D24" s="62"/>
      <c r="E24" s="81"/>
      <c r="F24" s="76"/>
      <c r="G24" s="52"/>
      <c r="H24" s="76"/>
      <c r="I24" s="85"/>
      <c r="J24" s="76" t="str">
        <f>IF(F24*H24=0,"",F24*H24)</f>
        <v/>
      </c>
    </row>
    <row r="25" spans="1:10" ht="11.25" customHeight="1" x14ac:dyDescent="0.25">
      <c r="A25" s="85"/>
      <c r="B25" s="62"/>
      <c r="C25" s="62"/>
      <c r="D25" s="62"/>
      <c r="E25" s="81"/>
      <c r="F25" s="76"/>
      <c r="G25" s="52"/>
      <c r="H25" s="76"/>
      <c r="I25" s="85"/>
      <c r="J25" s="76"/>
    </row>
    <row r="26" spans="1:10" ht="11.25" customHeight="1" x14ac:dyDescent="0.25">
      <c r="A26" s="85"/>
      <c r="B26" s="62"/>
      <c r="C26" s="62"/>
      <c r="D26" s="62"/>
      <c r="E26" s="81"/>
      <c r="F26" s="76"/>
      <c r="G26" s="52"/>
      <c r="H26" s="76"/>
      <c r="I26" s="85"/>
      <c r="J26" s="76"/>
    </row>
    <row r="27" spans="1:10" ht="11.25" customHeight="1" x14ac:dyDescent="0.25">
      <c r="A27" s="85"/>
      <c r="B27" s="62"/>
      <c r="C27" s="62"/>
      <c r="D27" s="62"/>
      <c r="E27" s="81"/>
      <c r="F27" s="76"/>
      <c r="G27" s="52"/>
      <c r="H27" s="76"/>
      <c r="I27" s="85"/>
      <c r="J27" s="76"/>
    </row>
    <row r="28" spans="1:10" x14ac:dyDescent="0.25">
      <c r="A28" s="85"/>
      <c r="B28" s="62"/>
      <c r="C28" s="62"/>
      <c r="D28" s="62"/>
      <c r="E28" s="81"/>
      <c r="F28" s="76"/>
      <c r="G28" s="52"/>
      <c r="H28" s="76"/>
      <c r="I28" s="85"/>
      <c r="J28" s="77" t="str">
        <f>IF(F28*H28=0,"",F28*H28)</f>
        <v/>
      </c>
    </row>
    <row r="29" spans="1:10" ht="11.25" customHeight="1" x14ac:dyDescent="0.25">
      <c r="A29" s="85"/>
      <c r="B29" s="62"/>
      <c r="C29" s="62"/>
      <c r="D29" s="62"/>
      <c r="E29" s="81"/>
      <c r="F29" s="76"/>
      <c r="G29" s="52"/>
      <c r="H29" s="76"/>
      <c r="I29" s="85"/>
      <c r="J29" s="77"/>
    </row>
    <row r="30" spans="1:10" ht="11.25" customHeight="1" x14ac:dyDescent="0.25">
      <c r="A30" s="85"/>
      <c r="B30" s="62"/>
      <c r="C30" s="62"/>
      <c r="D30" s="62"/>
      <c r="E30" s="81"/>
      <c r="F30" s="76"/>
      <c r="G30" s="52"/>
      <c r="H30" s="76"/>
      <c r="I30" s="85"/>
      <c r="J30" s="77"/>
    </row>
    <row r="31" spans="1:10" ht="11.25" customHeight="1" x14ac:dyDescent="0.25">
      <c r="A31" s="85"/>
      <c r="B31" s="62"/>
      <c r="C31" s="62"/>
      <c r="D31" s="62"/>
      <c r="E31" s="81"/>
      <c r="F31" s="76"/>
      <c r="G31" s="52"/>
      <c r="H31" s="76"/>
      <c r="I31" s="85"/>
      <c r="J31" s="77"/>
    </row>
    <row r="32" spans="1:10" x14ac:dyDescent="0.25">
      <c r="A32" s="85"/>
      <c r="B32" s="62"/>
      <c r="C32" s="62"/>
      <c r="D32" s="62"/>
      <c r="E32" s="81"/>
      <c r="F32" s="76"/>
      <c r="G32" s="52"/>
      <c r="H32" s="76"/>
      <c r="I32" s="85"/>
      <c r="J32" s="77" t="str">
        <f>IF(F32*H32=0,"",F32*H32)</f>
        <v/>
      </c>
    </row>
    <row r="33" spans="1:21" ht="11.25" customHeight="1" x14ac:dyDescent="0.25">
      <c r="A33" s="85"/>
      <c r="B33" s="62"/>
      <c r="C33" s="62"/>
      <c r="D33" s="62"/>
      <c r="E33" s="81"/>
      <c r="F33" s="76"/>
      <c r="G33" s="52"/>
      <c r="H33" s="76"/>
      <c r="I33" s="85"/>
      <c r="J33" s="77"/>
    </row>
    <row r="34" spans="1:21" ht="11.25" customHeight="1" x14ac:dyDescent="0.25">
      <c r="A34" s="85"/>
      <c r="B34" s="62"/>
      <c r="C34" s="62"/>
      <c r="D34" s="62"/>
      <c r="E34" s="81"/>
      <c r="F34" s="76"/>
      <c r="G34" s="52"/>
      <c r="H34" s="76"/>
      <c r="I34" s="85"/>
      <c r="J34" s="77"/>
    </row>
    <row r="35" spans="1:21" ht="11.25" customHeight="1" x14ac:dyDescent="0.25">
      <c r="A35" s="85"/>
      <c r="B35" s="62"/>
      <c r="C35" s="62"/>
      <c r="D35" s="62"/>
      <c r="E35" s="81"/>
      <c r="F35" s="76"/>
      <c r="G35" s="52"/>
      <c r="H35" s="76"/>
      <c r="I35" s="85"/>
      <c r="J35" s="77"/>
      <c r="U35" s="34"/>
    </row>
    <row r="36" spans="1:21" x14ac:dyDescent="0.25">
      <c r="A36" s="85"/>
      <c r="B36" s="62"/>
      <c r="C36" s="62"/>
      <c r="D36" s="62"/>
      <c r="E36" s="81"/>
      <c r="F36" s="76"/>
      <c r="G36" s="52"/>
      <c r="H36" s="76"/>
      <c r="I36" s="85"/>
      <c r="J36" s="77" t="str">
        <f>IF(F36*H36=0,"",F36*H36)</f>
        <v/>
      </c>
    </row>
    <row r="37" spans="1:21" ht="11.25" customHeight="1" x14ac:dyDescent="0.25">
      <c r="A37" s="85"/>
      <c r="B37" s="62"/>
      <c r="C37" s="62"/>
      <c r="D37" s="62"/>
      <c r="E37" s="81"/>
      <c r="F37" s="76"/>
      <c r="G37" s="52"/>
      <c r="H37" s="76"/>
      <c r="I37" s="85"/>
      <c r="J37" s="77"/>
    </row>
    <row r="38" spans="1:21" ht="11.25" customHeight="1" x14ac:dyDescent="0.25">
      <c r="A38" s="85"/>
      <c r="B38" s="62"/>
      <c r="C38" s="62"/>
      <c r="D38" s="62"/>
      <c r="E38" s="81"/>
      <c r="F38" s="76"/>
      <c r="G38" s="52"/>
      <c r="H38" s="76"/>
      <c r="I38" s="85"/>
      <c r="J38" s="77"/>
    </row>
    <row r="39" spans="1:21" ht="11.25" customHeight="1" x14ac:dyDescent="0.25">
      <c r="A39" s="111"/>
      <c r="B39" s="71"/>
      <c r="C39" s="71"/>
      <c r="D39" s="71"/>
      <c r="E39" s="82"/>
      <c r="F39" s="129"/>
      <c r="G39" s="53"/>
      <c r="H39" s="129"/>
      <c r="I39" s="111"/>
      <c r="J39" s="78"/>
    </row>
    <row r="40" spans="1:21" ht="13.5" customHeight="1" x14ac:dyDescent="0.25">
      <c r="A40" s="16"/>
      <c r="B40" s="17"/>
      <c r="C40" s="17"/>
      <c r="D40" s="18" t="s">
        <v>41</v>
      </c>
      <c r="E40" s="14"/>
      <c r="F40" s="15"/>
      <c r="G40" s="15"/>
      <c r="H40" s="19"/>
      <c r="I40" s="19"/>
      <c r="J40" s="32" t="str">
        <f>IF(SUM(J20:J39)=0,"",SUM(J20:J39))</f>
        <v/>
      </c>
    </row>
    <row r="41" spans="1:21" ht="12.75" customHeight="1" x14ac:dyDescent="0.25">
      <c r="A41" s="20"/>
      <c r="B41" s="21"/>
      <c r="C41" s="21"/>
      <c r="D41" s="21"/>
      <c r="E41" s="22"/>
      <c r="F41" s="6"/>
      <c r="G41" s="12"/>
      <c r="H41" s="74" t="s">
        <v>42</v>
      </c>
      <c r="I41" s="74"/>
      <c r="J41" s="48" t="str">
        <f>IF(AC11="Maharashtra",J40*9%,"")</f>
        <v/>
      </c>
    </row>
    <row r="42" spans="1:21" ht="15" customHeight="1" x14ac:dyDescent="0.25">
      <c r="A42" s="23"/>
      <c r="B42" s="6"/>
      <c r="C42" s="6"/>
      <c r="D42" s="6"/>
      <c r="E42" s="5"/>
      <c r="F42" s="6"/>
      <c r="G42" s="7"/>
      <c r="H42" s="74" t="s">
        <v>43</v>
      </c>
      <c r="I42" s="74"/>
      <c r="J42" s="48" t="str">
        <f>IF(AC11="Maharashtra",J40*9%,"")</f>
        <v/>
      </c>
    </row>
    <row r="43" spans="1:21" ht="12.75" customHeight="1" x14ac:dyDescent="0.25">
      <c r="A43" s="23"/>
      <c r="B43" s="6"/>
      <c r="C43" s="6"/>
      <c r="D43" s="6"/>
      <c r="E43" s="5"/>
      <c r="F43" s="6"/>
      <c r="G43" s="6"/>
      <c r="H43" s="79" t="s">
        <v>44</v>
      </c>
      <c r="I43" s="80"/>
      <c r="J43" s="33" t="e">
        <f>IF(AC12=1,J40*18%,"")</f>
        <v>#VALUE!</v>
      </c>
    </row>
    <row r="44" spans="1:21" x14ac:dyDescent="0.25">
      <c r="A44" s="24"/>
      <c r="B44" s="25"/>
      <c r="C44" s="25"/>
      <c r="D44" s="25"/>
      <c r="E44" s="13"/>
      <c r="F44" s="25"/>
      <c r="G44" s="7"/>
      <c r="H44" s="75" t="s">
        <v>41</v>
      </c>
      <c r="I44" s="75"/>
      <c r="J44" s="35" t="e">
        <f>IF(SUM(J40:J43)=0,"",SUM(J40:J43))</f>
        <v>#VALUE!</v>
      </c>
    </row>
    <row r="45" spans="1:21" x14ac:dyDescent="0.25">
      <c r="A45" s="20" t="s">
        <v>30</v>
      </c>
      <c r="B45" s="21"/>
      <c r="C45" s="21"/>
      <c r="D45" s="21"/>
      <c r="E45" s="22"/>
      <c r="F45" s="6"/>
      <c r="G45" s="21"/>
      <c r="H45" s="21"/>
      <c r="I45" s="21"/>
      <c r="J45" s="12" t="s">
        <v>31</v>
      </c>
    </row>
    <row r="46" spans="1:21" ht="26.25" customHeight="1" x14ac:dyDescent="0.25">
      <c r="A46" s="55"/>
      <c r="B46" s="56"/>
      <c r="C46" s="56"/>
      <c r="D46" s="56"/>
      <c r="E46" s="56"/>
      <c r="F46" s="56"/>
      <c r="G46" s="56"/>
      <c r="H46" s="56"/>
      <c r="I46" s="56"/>
      <c r="J46" s="57"/>
    </row>
    <row r="47" spans="1:21" ht="12" customHeight="1" x14ac:dyDescent="0.25">
      <c r="A47" s="1" t="s">
        <v>32</v>
      </c>
      <c r="B47" s="2"/>
      <c r="C47" s="2"/>
      <c r="D47" s="2"/>
      <c r="E47" s="3"/>
      <c r="F47" s="105" t="s">
        <v>38</v>
      </c>
      <c r="G47" s="106"/>
      <c r="H47" s="106"/>
      <c r="I47" s="106"/>
      <c r="J47" s="107"/>
    </row>
    <row r="48" spans="1:21" ht="12" customHeight="1" x14ac:dyDescent="0.25">
      <c r="A48" s="100" t="s">
        <v>33</v>
      </c>
      <c r="B48" s="101"/>
      <c r="C48" s="101"/>
      <c r="D48" s="101"/>
      <c r="E48" s="102"/>
      <c r="F48" s="123"/>
      <c r="G48" s="124"/>
      <c r="H48" s="124"/>
      <c r="I48" s="124"/>
      <c r="J48" s="125"/>
    </row>
    <row r="49" spans="1:10" ht="12" customHeight="1" x14ac:dyDescent="0.25">
      <c r="A49" s="100" t="s">
        <v>34</v>
      </c>
      <c r="B49" s="101"/>
      <c r="C49" s="101"/>
      <c r="D49" s="101"/>
      <c r="E49" s="102"/>
      <c r="F49" s="123"/>
      <c r="G49" s="124"/>
      <c r="H49" s="124"/>
      <c r="I49" s="124"/>
      <c r="J49" s="125"/>
    </row>
    <row r="50" spans="1:10" ht="10.5" customHeight="1" x14ac:dyDescent="0.25">
      <c r="A50" s="8" t="s">
        <v>35</v>
      </c>
      <c r="B50" s="9"/>
      <c r="C50" s="9"/>
      <c r="D50" s="9"/>
      <c r="E50" s="10"/>
      <c r="F50" s="108" t="s">
        <v>39</v>
      </c>
      <c r="G50" s="109"/>
      <c r="H50" s="109"/>
      <c r="I50" s="109"/>
      <c r="J50" s="110"/>
    </row>
    <row r="51" spans="1:10" x14ac:dyDescent="0.25">
      <c r="A51" s="103" t="s">
        <v>36</v>
      </c>
      <c r="B51" s="103"/>
      <c r="C51" s="103"/>
      <c r="D51" s="103"/>
      <c r="E51" s="103"/>
      <c r="F51" s="103"/>
      <c r="G51" s="103"/>
      <c r="H51" s="103"/>
      <c r="I51" s="103"/>
      <c r="J51" s="103"/>
    </row>
    <row r="52" spans="1:10" x14ac:dyDescent="0.25">
      <c r="A52" s="104" t="s">
        <v>37</v>
      </c>
      <c r="B52" s="104"/>
      <c r="C52" s="104"/>
      <c r="D52" s="104"/>
      <c r="E52" s="104"/>
      <c r="F52" s="104"/>
      <c r="G52" s="104"/>
      <c r="H52" s="104"/>
      <c r="I52" s="104"/>
      <c r="J52" s="104"/>
    </row>
    <row r="96" spans="17:17" x14ac:dyDescent="0.25">
      <c r="Q96" t="s">
        <v>29</v>
      </c>
    </row>
  </sheetData>
  <mergeCells count="122">
    <mergeCell ref="F48:J48"/>
    <mergeCell ref="F49:J49"/>
    <mergeCell ref="H5:J5"/>
    <mergeCell ref="H3:J3"/>
    <mergeCell ref="H2:J2"/>
    <mergeCell ref="H4:J4"/>
    <mergeCell ref="H6:J6"/>
    <mergeCell ref="H8:J8"/>
    <mergeCell ref="H7:J7"/>
    <mergeCell ref="F36:F39"/>
    <mergeCell ref="H36:H39"/>
    <mergeCell ref="I20:I23"/>
    <mergeCell ref="I24:I27"/>
    <mergeCell ref="I28:I31"/>
    <mergeCell ref="I32:I35"/>
    <mergeCell ref="I36:I39"/>
    <mergeCell ref="F20:F23"/>
    <mergeCell ref="H20:H23"/>
    <mergeCell ref="F24:F27"/>
    <mergeCell ref="H24:H27"/>
    <mergeCell ref="F28:F31"/>
    <mergeCell ref="H28:H31"/>
    <mergeCell ref="G28:G31"/>
    <mergeCell ref="G32:G35"/>
    <mergeCell ref="A48:E48"/>
    <mergeCell ref="A10:D10"/>
    <mergeCell ref="A13:D13"/>
    <mergeCell ref="A14:D14"/>
    <mergeCell ref="A6:D6"/>
    <mergeCell ref="A9:D9"/>
    <mergeCell ref="A24:A27"/>
    <mergeCell ref="A28:A31"/>
    <mergeCell ref="A8:D8"/>
    <mergeCell ref="A17:B17"/>
    <mergeCell ref="C17:D17"/>
    <mergeCell ref="A18:B18"/>
    <mergeCell ref="C18:D18"/>
    <mergeCell ref="B30:D30"/>
    <mergeCell ref="B31:D31"/>
    <mergeCell ref="A20:A23"/>
    <mergeCell ref="A36:A39"/>
    <mergeCell ref="A16:D16"/>
    <mergeCell ref="A7:D7"/>
    <mergeCell ref="E2:G2"/>
    <mergeCell ref="F3:G3"/>
    <mergeCell ref="E5:G5"/>
    <mergeCell ref="E4:G4"/>
    <mergeCell ref="E6:G6"/>
    <mergeCell ref="E7:G7"/>
    <mergeCell ref="E8:G8"/>
    <mergeCell ref="H32:H35"/>
    <mergeCell ref="A15:D15"/>
    <mergeCell ref="A49:E49"/>
    <mergeCell ref="A51:J51"/>
    <mergeCell ref="A52:J52"/>
    <mergeCell ref="F47:J47"/>
    <mergeCell ref="F50:J50"/>
    <mergeCell ref="E16:J16"/>
    <mergeCell ref="E17:J17"/>
    <mergeCell ref="E18:J18"/>
    <mergeCell ref="E24:E27"/>
    <mergeCell ref="E28:E31"/>
    <mergeCell ref="E32:E35"/>
    <mergeCell ref="B24:D24"/>
    <mergeCell ref="B25:D25"/>
    <mergeCell ref="B26:D26"/>
    <mergeCell ref="B27:D27"/>
    <mergeCell ref="B28:D28"/>
    <mergeCell ref="B29:D29"/>
    <mergeCell ref="B36:D36"/>
    <mergeCell ref="B37:D37"/>
    <mergeCell ref="B38:D38"/>
    <mergeCell ref="B39:D39"/>
    <mergeCell ref="A32:A35"/>
    <mergeCell ref="E36:E39"/>
    <mergeCell ref="B21:D21"/>
    <mergeCell ref="B32:D32"/>
    <mergeCell ref="B33:D33"/>
    <mergeCell ref="B34:D34"/>
    <mergeCell ref="B35:D35"/>
    <mergeCell ref="H9:J9"/>
    <mergeCell ref="B20:D20"/>
    <mergeCell ref="E20:E23"/>
    <mergeCell ref="B22:D22"/>
    <mergeCell ref="B23:D23"/>
    <mergeCell ref="G20:G23"/>
    <mergeCell ref="E11:G11"/>
    <mergeCell ref="E12:G12"/>
    <mergeCell ref="E13:G13"/>
    <mergeCell ref="E14:G14"/>
    <mergeCell ref="E15:G15"/>
    <mergeCell ref="A12:B12"/>
    <mergeCell ref="C12:D12"/>
    <mergeCell ref="A11:B11"/>
    <mergeCell ref="C11:D11"/>
    <mergeCell ref="E9:G9"/>
    <mergeCell ref="E10:G10"/>
    <mergeCell ref="F32:F35"/>
    <mergeCell ref="G36:G39"/>
    <mergeCell ref="G24:G27"/>
    <mergeCell ref="A1:J1"/>
    <mergeCell ref="A46:J46"/>
    <mergeCell ref="A2:D2"/>
    <mergeCell ref="A3:D3"/>
    <mergeCell ref="A4:D4"/>
    <mergeCell ref="A5:D5"/>
    <mergeCell ref="H10:J10"/>
    <mergeCell ref="H11:J11"/>
    <mergeCell ref="H12:J12"/>
    <mergeCell ref="H14:J14"/>
    <mergeCell ref="B19:D19"/>
    <mergeCell ref="H13:J13"/>
    <mergeCell ref="H15:J15"/>
    <mergeCell ref="H41:I41"/>
    <mergeCell ref="H42:I42"/>
    <mergeCell ref="H44:I44"/>
    <mergeCell ref="J20:J23"/>
    <mergeCell ref="J24:J27"/>
    <mergeCell ref="J28:J31"/>
    <mergeCell ref="J32:J35"/>
    <mergeCell ref="J36:J39"/>
    <mergeCell ref="H43:I4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5E741-5DDD-44C8-A6FA-628999EB8E7F}">
  <sheetPr codeName="Sheet2"/>
  <dimension ref="A1:D3"/>
  <sheetViews>
    <sheetView workbookViewId="0">
      <selection activeCell="I12" sqref="I12"/>
    </sheetView>
  </sheetViews>
  <sheetFormatPr defaultRowHeight="15" x14ac:dyDescent="0.25"/>
  <cols>
    <col min="2" max="2" width="55.140625" customWidth="1"/>
    <col min="3" max="3" width="18.42578125" customWidth="1"/>
    <col min="4" max="4" width="14.5703125" customWidth="1"/>
  </cols>
  <sheetData>
    <row r="1" spans="1:4" ht="18.75" x14ac:dyDescent="0.3">
      <c r="A1" s="132" t="s">
        <v>45</v>
      </c>
      <c r="B1" s="132"/>
      <c r="C1" s="132"/>
      <c r="D1" s="132"/>
    </row>
    <row r="2" spans="1:4" x14ac:dyDescent="0.25">
      <c r="A2" s="27" t="s">
        <v>46</v>
      </c>
      <c r="B2" s="28" t="s">
        <v>47</v>
      </c>
      <c r="C2" s="28" t="s">
        <v>48</v>
      </c>
      <c r="D2" s="29" t="s">
        <v>49</v>
      </c>
    </row>
    <row r="3" spans="1:4" x14ac:dyDescent="0.25">
      <c r="A3" s="37">
        <f>ROWS($A$3:ProcustMaster[[#This Row],[Sr. No.]])</f>
        <v>1</v>
      </c>
      <c r="B3" s="30"/>
      <c r="C3" s="30"/>
      <c r="D3" s="31"/>
    </row>
  </sheetData>
  <mergeCells count="1">
    <mergeCell ref="A1:D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F8F9A-7D37-4F21-AC30-89C0C65CAC7E}">
  <sheetPr codeName="Sheet3"/>
  <dimension ref="A1:J4"/>
  <sheetViews>
    <sheetView workbookViewId="0">
      <selection activeCell="G3" sqref="G3"/>
    </sheetView>
  </sheetViews>
  <sheetFormatPr defaultRowHeight="15" x14ac:dyDescent="0.25"/>
  <cols>
    <col min="2" max="2" width="13.140625" customWidth="1"/>
    <col min="3" max="3" width="11" customWidth="1"/>
    <col min="4" max="4" width="12" customWidth="1"/>
    <col min="5" max="6" width="32.85546875" customWidth="1"/>
    <col min="7" max="7" width="18.42578125" customWidth="1"/>
    <col min="8" max="8" width="10.140625" customWidth="1"/>
    <col min="9" max="9" width="9.85546875" customWidth="1"/>
    <col min="10" max="10" width="12" customWidth="1"/>
  </cols>
  <sheetData>
    <row r="1" spans="1:10" x14ac:dyDescent="0.25">
      <c r="A1" s="133" t="s">
        <v>55</v>
      </c>
      <c r="B1" s="133"/>
      <c r="C1" s="133"/>
      <c r="D1" s="133"/>
      <c r="E1" s="133"/>
      <c r="F1" s="133"/>
      <c r="G1" s="133"/>
      <c r="H1" s="133"/>
      <c r="I1" s="133"/>
      <c r="J1" s="133"/>
    </row>
    <row r="2" spans="1:10" x14ac:dyDescent="0.25">
      <c r="A2" t="s">
        <v>46</v>
      </c>
      <c r="B2" s="36" t="s">
        <v>58</v>
      </c>
      <c r="C2" s="36" t="s">
        <v>57</v>
      </c>
      <c r="D2" t="s">
        <v>52</v>
      </c>
      <c r="E2" t="s">
        <v>53</v>
      </c>
      <c r="F2" t="s">
        <v>59</v>
      </c>
      <c r="G2" t="s">
        <v>54</v>
      </c>
      <c r="H2" t="s">
        <v>44</v>
      </c>
      <c r="I2" t="s">
        <v>42</v>
      </c>
      <c r="J2" t="s">
        <v>43</v>
      </c>
    </row>
    <row r="3" spans="1:10" x14ac:dyDescent="0.25">
      <c r="A3" s="38">
        <f>ROWS($A$3:Table2[[#This Row],[Sr. No.]])</f>
        <v>1</v>
      </c>
      <c r="B3" s="11" t="s">
        <v>6</v>
      </c>
      <c r="C3" s="39"/>
      <c r="D3" s="39"/>
      <c r="E3" s="39"/>
      <c r="F3" s="39"/>
      <c r="G3" s="39"/>
      <c r="H3" s="39"/>
      <c r="I3" s="39" t="s">
        <v>56</v>
      </c>
      <c r="J3" s="39"/>
    </row>
    <row r="4" spans="1:10" x14ac:dyDescent="0.25">
      <c r="A4" s="40">
        <f>ROWS($A$3:Table2[[#This Row],[Sr. No.]])</f>
        <v>2</v>
      </c>
      <c r="B4" s="41"/>
      <c r="C4" s="42"/>
      <c r="D4" s="43"/>
      <c r="E4" s="43"/>
      <c r="F4" s="44"/>
      <c r="G4" s="45"/>
      <c r="H4" s="46"/>
      <c r="I4" s="47"/>
      <c r="J4" s="47"/>
    </row>
  </sheetData>
  <mergeCells count="1">
    <mergeCell ref="A1:J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Invoice</vt:lpstr>
      <vt:lpstr>ProductMaster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HOTEL O2</dc:creator>
  <cp:lastModifiedBy>HOTEL O2</cp:lastModifiedBy>
  <cp:lastPrinted>2024-03-05T15:09:51Z</cp:lastPrinted>
  <dcterms:created xsi:type="dcterms:W3CDTF">2015-06-05T18:17:20Z</dcterms:created>
  <dcterms:modified xsi:type="dcterms:W3CDTF">2024-03-05T15:12:02Z</dcterms:modified>
</cp:coreProperties>
</file>